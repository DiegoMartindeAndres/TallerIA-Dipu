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Nextcloud\Trabajo\Proyectos\UVa\Cursos\IA Diputación\Fuentes\"/>
    </mc:Choice>
  </mc:AlternateContent>
  <xr:revisionPtr revIDLastSave="0" documentId="13_ncr:1_{72E9EF86-4FE8-4EEC-8199-227E767C7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in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2" i="1"/>
  <c r="J29" i="1" l="1"/>
  <c r="J27" i="1"/>
  <c r="J30" i="1"/>
  <c r="J18" i="1"/>
  <c r="J19" i="1"/>
  <c r="J50" i="1"/>
  <c r="J59" i="1"/>
  <c r="J39" i="1"/>
  <c r="J28" i="1"/>
  <c r="J42" i="1"/>
  <c r="J34" i="1"/>
  <c r="J37" i="1"/>
  <c r="J25" i="1"/>
  <c r="J20" i="1"/>
  <c r="J31" i="1"/>
  <c r="J22" i="1"/>
  <c r="J12" i="1"/>
  <c r="J41" i="1"/>
  <c r="J57" i="1"/>
  <c r="J26" i="1"/>
  <c r="J55" i="1"/>
  <c r="J36" i="1"/>
  <c r="J2" i="1"/>
  <c r="J58" i="1"/>
  <c r="J40" i="1"/>
  <c r="J7" i="1"/>
  <c r="J35" i="1"/>
  <c r="J54" i="1"/>
  <c r="J6" i="1"/>
  <c r="J56" i="1"/>
  <c r="J43" i="1"/>
  <c r="J14" i="1"/>
  <c r="J15" i="1"/>
  <c r="J23" i="1"/>
  <c r="J8" i="1"/>
  <c r="J45" i="1"/>
  <c r="J21" i="1"/>
  <c r="J3" i="1"/>
  <c r="J17" i="1"/>
  <c r="J47" i="1"/>
  <c r="J24" i="1"/>
  <c r="J49" i="1"/>
  <c r="J38" i="1"/>
  <c r="J13" i="1"/>
  <c r="J11" i="1"/>
  <c r="J9" i="1"/>
  <c r="J10" i="1"/>
  <c r="J44" i="1"/>
  <c r="J4" i="1"/>
  <c r="J53" i="1"/>
  <c r="J51" i="1"/>
  <c r="J48" i="1"/>
  <c r="J52" i="1"/>
  <c r="J5" i="1"/>
  <c r="J46" i="1"/>
  <c r="J16" i="1"/>
  <c r="J32" i="1"/>
  <c r="G29" i="1"/>
  <c r="G27" i="1"/>
  <c r="G30" i="1"/>
  <c r="G18" i="1"/>
  <c r="G19" i="1"/>
  <c r="G50" i="1"/>
  <c r="G59" i="1"/>
  <c r="G39" i="1"/>
  <c r="G28" i="1"/>
  <c r="G42" i="1"/>
  <c r="G34" i="1"/>
  <c r="G37" i="1"/>
  <c r="G25" i="1"/>
  <c r="G20" i="1"/>
  <c r="G31" i="1"/>
  <c r="G22" i="1"/>
  <c r="G12" i="1"/>
  <c r="G41" i="1"/>
  <c r="G57" i="1"/>
  <c r="G26" i="1"/>
  <c r="G55" i="1"/>
  <c r="G36" i="1"/>
  <c r="G2" i="1"/>
  <c r="G58" i="1"/>
  <c r="G40" i="1"/>
  <c r="G7" i="1"/>
  <c r="G35" i="1"/>
  <c r="G54" i="1"/>
  <c r="G6" i="1"/>
  <c r="G56" i="1"/>
  <c r="G43" i="1"/>
  <c r="G14" i="1"/>
  <c r="G15" i="1"/>
  <c r="G23" i="1"/>
  <c r="G8" i="1"/>
  <c r="G45" i="1"/>
  <c r="G21" i="1"/>
  <c r="G3" i="1"/>
  <c r="G17" i="1"/>
  <c r="G47" i="1"/>
  <c r="G24" i="1"/>
  <c r="G49" i="1"/>
  <c r="G38" i="1"/>
  <c r="G13" i="1"/>
  <c r="G11" i="1"/>
  <c r="G9" i="1"/>
  <c r="G10" i="1"/>
  <c r="G44" i="1"/>
  <c r="G4" i="1"/>
  <c r="G53" i="1"/>
  <c r="G51" i="1"/>
  <c r="G48" i="1"/>
  <c r="G52" i="1"/>
  <c r="G5" i="1"/>
  <c r="G46" i="1"/>
  <c r="G16" i="1"/>
  <c r="G32" i="1"/>
  <c r="J33" i="1"/>
  <c r="G33" i="1"/>
  <c r="D29" i="1"/>
  <c r="D27" i="1"/>
  <c r="D30" i="1"/>
  <c r="D18" i="1"/>
  <c r="M18" i="1" s="1"/>
  <c r="D19" i="1"/>
  <c r="M19" i="1" s="1"/>
  <c r="D50" i="1"/>
  <c r="D59" i="1"/>
  <c r="D39" i="1"/>
  <c r="D28" i="1"/>
  <c r="D42" i="1"/>
  <c r="D34" i="1"/>
  <c r="M34" i="1" s="1"/>
  <c r="D37" i="1"/>
  <c r="M37" i="1" s="1"/>
  <c r="D25" i="1"/>
  <c r="M25" i="1" s="1"/>
  <c r="D20" i="1"/>
  <c r="D31" i="1"/>
  <c r="D22" i="1"/>
  <c r="D12" i="1"/>
  <c r="D41" i="1"/>
  <c r="D57" i="1"/>
  <c r="M57" i="1" s="1"/>
  <c r="D26" i="1"/>
  <c r="M26" i="1" s="1"/>
  <c r="D55" i="1"/>
  <c r="M55" i="1" s="1"/>
  <c r="D36" i="1"/>
  <c r="D2" i="1"/>
  <c r="D58" i="1"/>
  <c r="D40" i="1"/>
  <c r="D7" i="1"/>
  <c r="D35" i="1"/>
  <c r="M35" i="1" s="1"/>
  <c r="D54" i="1"/>
  <c r="M54" i="1" s="1"/>
  <c r="D6" i="1"/>
  <c r="M6" i="1" s="1"/>
  <c r="D56" i="1"/>
  <c r="D43" i="1"/>
  <c r="D14" i="1"/>
  <c r="D15" i="1"/>
  <c r="D23" i="1"/>
  <c r="D8" i="1"/>
  <c r="M8" i="1" s="1"/>
  <c r="D45" i="1"/>
  <c r="M45" i="1" s="1"/>
  <c r="D21" i="1"/>
  <c r="M21" i="1" s="1"/>
  <c r="D3" i="1"/>
  <c r="D17" i="1"/>
  <c r="D47" i="1"/>
  <c r="D24" i="1"/>
  <c r="D49" i="1"/>
  <c r="D38" i="1"/>
  <c r="M38" i="1" s="1"/>
  <c r="D13" i="1"/>
  <c r="M13" i="1" s="1"/>
  <c r="D11" i="1"/>
  <c r="M11" i="1" s="1"/>
  <c r="D9" i="1"/>
  <c r="D10" i="1"/>
  <c r="D44" i="1"/>
  <c r="D4" i="1"/>
  <c r="D53" i="1"/>
  <c r="D51" i="1"/>
  <c r="M51" i="1" s="1"/>
  <c r="D48" i="1"/>
  <c r="M48" i="1" s="1"/>
  <c r="D52" i="1"/>
  <c r="M52" i="1" s="1"/>
  <c r="D5" i="1"/>
  <c r="D46" i="1"/>
  <c r="D16" i="1"/>
  <c r="D32" i="1"/>
  <c r="D33" i="1"/>
  <c r="M30" i="1" l="1"/>
  <c r="M10" i="1"/>
  <c r="M33" i="1"/>
  <c r="M53" i="1"/>
  <c r="M49" i="1"/>
  <c r="M23" i="1"/>
  <c r="M7" i="1"/>
  <c r="M41" i="1"/>
  <c r="M42" i="1"/>
  <c r="M27" i="1"/>
  <c r="M58" i="1"/>
  <c r="M32" i="1"/>
  <c r="M4" i="1"/>
  <c r="M24" i="1"/>
  <c r="M15" i="1"/>
  <c r="M40" i="1"/>
  <c r="M12" i="1"/>
  <c r="M28" i="1"/>
  <c r="M29" i="1"/>
  <c r="M16" i="1"/>
  <c r="M44" i="1"/>
  <c r="M47" i="1"/>
  <c r="M14" i="1"/>
  <c r="M22" i="1"/>
  <c r="M39" i="1"/>
  <c r="M46" i="1"/>
  <c r="M17" i="1"/>
  <c r="M43" i="1"/>
  <c r="M2" i="1"/>
  <c r="M31" i="1"/>
  <c r="M59" i="1"/>
  <c r="M5" i="1"/>
  <c r="M9" i="1"/>
  <c r="M3" i="1"/>
  <c r="M56" i="1"/>
  <c r="M36" i="1"/>
  <c r="M20" i="1"/>
  <c r="M50" i="1"/>
  <c r="L56" i="1"/>
  <c r="N56" i="1"/>
  <c r="N52" i="1"/>
  <c r="L52" i="1"/>
  <c r="N11" i="1"/>
  <c r="L11" i="1"/>
  <c r="N21" i="1"/>
  <c r="L21" i="1"/>
  <c r="N6" i="1"/>
  <c r="L6" i="1"/>
  <c r="L55" i="1"/>
  <c r="N55" i="1"/>
  <c r="L25" i="1"/>
  <c r="N25" i="1"/>
  <c r="N19" i="1"/>
  <c r="L19" i="1"/>
  <c r="L50" i="1"/>
  <c r="N50" i="1"/>
  <c r="N45" i="1"/>
  <c r="L45" i="1"/>
  <c r="N38" i="1"/>
  <c r="L38" i="1"/>
  <c r="L8" i="1"/>
  <c r="N8" i="1"/>
  <c r="N35" i="1"/>
  <c r="L35" i="1"/>
  <c r="L57" i="1"/>
  <c r="N57" i="1"/>
  <c r="L34" i="1"/>
  <c r="N34" i="1"/>
  <c r="N30" i="1"/>
  <c r="L30" i="1"/>
  <c r="L9" i="1"/>
  <c r="N9" i="1"/>
  <c r="N13" i="1"/>
  <c r="L13" i="1"/>
  <c r="N37" i="1"/>
  <c r="L37" i="1"/>
  <c r="N51" i="1"/>
  <c r="L51" i="1"/>
  <c r="N53" i="1"/>
  <c r="L53" i="1"/>
  <c r="L23" i="1"/>
  <c r="N23" i="1"/>
  <c r="L41" i="1"/>
  <c r="N41" i="1"/>
  <c r="L42" i="1"/>
  <c r="N42" i="1"/>
  <c r="N27" i="1"/>
  <c r="L27" i="1"/>
  <c r="N5" i="1"/>
  <c r="L5" i="1"/>
  <c r="N36" i="1"/>
  <c r="L36" i="1"/>
  <c r="L48" i="1"/>
  <c r="N48" i="1"/>
  <c r="N54" i="1"/>
  <c r="L54" i="1"/>
  <c r="L18" i="1"/>
  <c r="N18" i="1"/>
  <c r="L33" i="1"/>
  <c r="N33" i="1"/>
  <c r="L49" i="1"/>
  <c r="N49" i="1"/>
  <c r="L7" i="1"/>
  <c r="N7" i="1"/>
  <c r="N32" i="1"/>
  <c r="L32" i="1"/>
  <c r="N4" i="1"/>
  <c r="L4" i="1"/>
  <c r="L24" i="1"/>
  <c r="N24" i="1"/>
  <c r="L15" i="1"/>
  <c r="N15" i="1"/>
  <c r="L40" i="1"/>
  <c r="N40" i="1"/>
  <c r="N12" i="1"/>
  <c r="L12" i="1"/>
  <c r="N28" i="1"/>
  <c r="L28" i="1"/>
  <c r="N29" i="1"/>
  <c r="L29" i="1"/>
  <c r="N20" i="1"/>
  <c r="L20" i="1"/>
  <c r="L26" i="1"/>
  <c r="N26" i="1"/>
  <c r="N16" i="1"/>
  <c r="L16" i="1"/>
  <c r="N44" i="1"/>
  <c r="L44" i="1"/>
  <c r="L47" i="1"/>
  <c r="N47" i="1"/>
  <c r="N14" i="1"/>
  <c r="L14" i="1"/>
  <c r="L58" i="1"/>
  <c r="N58" i="1"/>
  <c r="N22" i="1"/>
  <c r="L22" i="1"/>
  <c r="N39" i="1"/>
  <c r="L39" i="1"/>
  <c r="N3" i="1"/>
  <c r="L3" i="1"/>
  <c r="N46" i="1"/>
  <c r="L46" i="1"/>
  <c r="N10" i="1"/>
  <c r="L10" i="1"/>
  <c r="L17" i="1"/>
  <c r="N17" i="1"/>
  <c r="N43" i="1"/>
  <c r="L43" i="1"/>
  <c r="N2" i="1"/>
  <c r="L2" i="1"/>
  <c r="L31" i="1"/>
  <c r="N31" i="1"/>
  <c r="N59" i="1"/>
  <c r="L59" i="1"/>
  <c r="M62" i="1" l="1"/>
  <c r="L62" i="1"/>
  <c r="N62" i="1" s="1"/>
</calcChain>
</file>

<file path=xl/sharedStrings.xml><?xml version="1.0" encoding="utf-8"?>
<sst xmlns="http://schemas.openxmlformats.org/spreadsheetml/2006/main" count="35" uniqueCount="15">
  <si>
    <t>-</t>
  </si>
  <si>
    <t>P1</t>
  </si>
  <si>
    <t>P2</t>
  </si>
  <si>
    <t>P3</t>
  </si>
  <si>
    <t>PP1</t>
  </si>
  <si>
    <t>PP2</t>
  </si>
  <si>
    <t>PP3</t>
  </si>
  <si>
    <t>PF1</t>
  </si>
  <si>
    <t>PF2</t>
  </si>
  <si>
    <t>PF3</t>
  </si>
  <si>
    <t>Ex</t>
  </si>
  <si>
    <t>Nota_Final</t>
  </si>
  <si>
    <t>Retro</t>
  </si>
  <si>
    <t>Nota_Acta</t>
  </si>
  <si>
    <t>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</si>
</sst>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workbookViewId="0">
      <selection activeCell="N1" sqref="N1"/>
    </sheetView>
  </sheetViews>
  <sheetFormatPr baseColWidth="10" defaultColWidth="9.140625" defaultRowHeight="15" x14ac:dyDescent="0.25"/>
  <cols>
    <col min="1" max="1" width="12" customWidth="1"/>
    <col min="4" max="4" width="9.140625" style="3"/>
    <col min="7" max="7" width="9.140625" style="3"/>
    <col min="10" max="10" width="9.140625" style="3"/>
    <col min="11" max="11" width="9" customWidth="1"/>
    <col min="12" max="13" width="11.85546875" customWidth="1"/>
    <col min="14" max="14" width="10.85546875" customWidth="1"/>
  </cols>
  <sheetData>
    <row r="1" spans="1:14" x14ac:dyDescent="0.25">
      <c r="A1" t="s">
        <v>14</v>
      </c>
      <c r="B1" s="1" t="s">
        <v>1</v>
      </c>
      <c r="C1" s="1" t="s">
        <v>4</v>
      </c>
      <c r="D1" s="2" t="s">
        <v>7</v>
      </c>
      <c r="E1" s="1" t="s">
        <v>2</v>
      </c>
      <c r="F1" s="1" t="s">
        <v>5</v>
      </c>
      <c r="G1" s="2" t="s">
        <v>8</v>
      </c>
      <c r="H1" s="1" t="s">
        <v>3</v>
      </c>
      <c r="I1" s="1" t="s">
        <v>6</v>
      </c>
      <c r="J1" s="2" t="s">
        <v>9</v>
      </c>
      <c r="K1" s="4" t="s">
        <v>10</v>
      </c>
      <c r="L1" t="s">
        <v>11</v>
      </c>
      <c r="M1" t="s">
        <v>13</v>
      </c>
      <c r="N1" t="s">
        <v>12</v>
      </c>
    </row>
    <row r="2" spans="1:14" x14ac:dyDescent="0.25">
      <c r="A2" t="str">
        <f>"Alumno"&amp;TEXT(ROW()-1,"00")</f>
        <v>Alumno01</v>
      </c>
      <c r="B2">
        <v>9.0299999999999994</v>
      </c>
      <c r="C2">
        <v>8</v>
      </c>
      <c r="D2" s="3">
        <f t="shared" ref="D2:D33" si="0">IF(OR(B2="-",B2="",C2="-",C2="",B2&lt;=0,C2&lt;=0),0,TRUNC(GEOMEAN(B2,C2),2))</f>
        <v>8.49</v>
      </c>
      <c r="E2">
        <v>9.4600000000000009</v>
      </c>
      <c r="F2">
        <v>6.18</v>
      </c>
      <c r="G2" s="3">
        <f t="shared" ref="G2:G33" si="1">IF(OR(E2="-",E2="",F2="-",F2="",E2&lt;=0,F2&lt;=0),0,TRUNC(GEOMEAN(E2,F2),2))</f>
        <v>7.64</v>
      </c>
      <c r="H2">
        <v>4.17</v>
      </c>
      <c r="I2">
        <v>4.93</v>
      </c>
      <c r="J2" s="3">
        <f t="shared" ref="J2:J33" si="2">IF(OR(H2="-",H2="",I2="-",I2="",H2&lt;=0,I2&lt;=0),0,TRUNC(GEOMEAN(H2,I2),2))</f>
        <v>4.53</v>
      </c>
      <c r="K2">
        <v>5.0999999999999996</v>
      </c>
      <c r="L2">
        <f>IFERROR(
  IF(
    OR(ISERROR(D2), D2&lt;4, ISERROR(G2), G2&lt;4, ISERROR(J2), J2&lt;4, AVERAGE(D2,G2,J2)&lt;5, ISERROR(K2), K2&lt;4),
    0,
    ROUND(AVERAGE(D2,G2,J2)*0.4 + K2*0.6, 2)
  ),
  0
)</f>
        <v>5.81</v>
      </c>
      <c r="M2">
        <f>IF(
  OR(ISERROR(D2), ISERROR(G2), ISERROR(J2), ISERROR(K2)),
  0,
  _xlfn.LET(
    _xlpm.nota, ROUND(AVERAGE(D2,G2,J2)*0.4 + K2*0.6, 2),
    IF(
      OR(D2&lt;4, G2&lt;4, J2&lt;4, AVERAGE(D2,G2,J2)&lt;5, K2&lt;4),
      IF(_xlpm.nota&gt;5, 4, IF(AND(_xlpm.nota&gt;=4.5, _xlpm.nota&lt;5), 4.5, _xlpm.nota)),
      _xlpm.nota
    )
  )
)</f>
        <v>5.81</v>
      </c>
      <c r="N2" t="str">
        <f>_xlfn.TEXTJOIN(CHAR(10), TRUE,
  IF(ISERROR(D2), "Error al calcular la nota de la práctica 1. Es posible que la práctica o la prueba estén calificadas con un 0. ", ""),
  IF(ISERROR(G2), "Error al calcular la nota de la práctica 2. Es posible que la práctica o la prueba estén calificadas con un 0. ", ""),
  IF(ISERROR(J2), "Error al calcular la nota de la práctica 3. Es posible que la práctica o la prueba estén calificadas con un 0. ", ""),
  IF(IFERROR(D2&lt;4, FALSE), "La nota final de la práctica 1 no supera el 4. No se puede hacer media con las prácticas 2 y 3. ", ""),
  IF(IFERROR(G2&lt;4, FALSE), "La nota final de la práctica 2 no supera el 4. No se puede hacer media con las prácticas 1 y 3. ", ""),
  IF(IFERROR(J2&lt;4, FALSE), "La nota final de la práctica 3 no supera el 4. No se puede hacer media con las prácticas 1 y 2. ", ""),
  IF(IFERROR(AVERAGE(D2, G2, J2)&lt;5, FALSE), "No tienes aprobadas las prácticas. Necesitas al menos un 5 de media entre las tres prácticas. ", ""),
  IF(IFERROR(K2&lt;4, FALSE), "No tienes aprobado el examen. Necesitas al menos un 4 para hacer media. ", "")
)</f>
        <v/>
      </c>
    </row>
    <row r="3" spans="1:14" x14ac:dyDescent="0.25">
      <c r="A3" t="str">
        <f t="shared" ref="A3:A59" si="3">"Alumno"&amp;TEXT(ROW()-1,"00")</f>
        <v>Alumno02</v>
      </c>
      <c r="B3">
        <v>9.94</v>
      </c>
      <c r="C3">
        <v>7.33</v>
      </c>
      <c r="D3" s="3">
        <f t="shared" si="0"/>
        <v>8.5299999999999994</v>
      </c>
      <c r="E3">
        <v>9.4600000000000009</v>
      </c>
      <c r="F3">
        <v>7.24</v>
      </c>
      <c r="G3" s="3">
        <f t="shared" si="1"/>
        <v>8.27</v>
      </c>
      <c r="H3">
        <v>6.17</v>
      </c>
      <c r="I3">
        <v>7.48</v>
      </c>
      <c r="J3" s="3">
        <f t="shared" si="2"/>
        <v>6.79</v>
      </c>
      <c r="K3">
        <v>4.29</v>
      </c>
      <c r="L3">
        <f t="shared" ref="L3:L59" si="4">IFERROR(
  IF(
    OR(ISERROR(D3), D3&lt;4, ISERROR(G3), G3&lt;4, ISERROR(J3), J3&lt;4, AVERAGE(D3,G3,J3)&lt;5, ISERROR(K3), K3&lt;4),
    0,
    ROUND(AVERAGE(D3,G3,J3)*0.4 + K3*0.6, 2)
  ),
  0
)</f>
        <v>5.72</v>
      </c>
      <c r="M3">
        <f t="shared" ref="M3:M59" si="5">IF(
  OR(ISERROR(D3), ISERROR(G3), ISERROR(J3), ISERROR(K3)),
  0,
  _xlfn.LET(
    _xlpm.nota, ROUND(AVERAGE(D3,G3,J3)*0.4 + K3*0.6, 2),
    IF(
      OR(D3&lt;4, G3&lt;4, J3&lt;4, AVERAGE(D3,G3,J3)&lt;5, K3&lt;4),
      IF(_xlpm.nota&gt;5, 4, IF(AND(_xlpm.nota&gt;=4.5, _xlpm.nota&lt;5), 4.5, _xlpm.nota)),
      _xlpm.nota
    )
  )
)</f>
        <v>5.72</v>
      </c>
      <c r="N3" t="str">
        <f t="shared" ref="N3:N59" si="6">_xlfn.TEXTJOIN(CHAR(10), TRUE,
  IF(ISERROR(D3), "Error al calcular la nota de la práctica 1. Es posible que la práctica o la prueba estén calificadas con un 0. ", ""),
  IF(ISERROR(G3), "Error al calcular la nota de la práctica 2. Es posible que la práctica o la prueba estén calificadas con un 0. ", ""),
  IF(ISERROR(J3), "Error al calcular la nota de la práctica 3. Es posible que la práctica o la prueba estén calificadas con un 0. ", ""),
  IF(IFERROR(D3&lt;4, FALSE), "La nota final de la práctica 1 no supera el 4. No se puede hacer media con las prácticas 2 y 3. ", ""),
  IF(IFERROR(G3&lt;4, FALSE), "La nota final de la práctica 2 no supera el 4. No se puede hacer media con las prácticas 1 y 3. ", ""),
  IF(IFERROR(J3&lt;4, FALSE), "La nota final de la práctica 3 no supera el 4. No se puede hacer media con las prácticas 1 y 2. ", ""),
  IF(IFERROR(AVERAGE(D3, G3, J3)&lt;5, FALSE), "No tienes aprobadas las prácticas. Necesitas al menos un 5 de media entre las tres prácticas. ", ""),
  IF(IFERROR(K3&lt;4, FALSE), "No tienes aprobado el examen. Necesitas al menos un 4 para hacer media. ", "")
)</f>
        <v/>
      </c>
    </row>
    <row r="4" spans="1:14" x14ac:dyDescent="0.25">
      <c r="A4" t="str">
        <f t="shared" si="3"/>
        <v>Alumno03</v>
      </c>
      <c r="B4">
        <v>9.08</v>
      </c>
      <c r="C4">
        <v>9.33</v>
      </c>
      <c r="D4" s="3">
        <f t="shared" si="0"/>
        <v>9.1999999999999993</v>
      </c>
      <c r="E4">
        <v>9.73</v>
      </c>
      <c r="F4">
        <v>7.75</v>
      </c>
      <c r="G4" s="3">
        <f t="shared" si="1"/>
        <v>8.68</v>
      </c>
      <c r="H4">
        <v>10</v>
      </c>
      <c r="I4">
        <v>7.65</v>
      </c>
      <c r="J4" s="3">
        <f t="shared" si="2"/>
        <v>8.74</v>
      </c>
      <c r="K4">
        <v>3.35</v>
      </c>
      <c r="L4">
        <f t="shared" si="4"/>
        <v>0</v>
      </c>
      <c r="M4">
        <f t="shared" si="5"/>
        <v>4</v>
      </c>
      <c r="N4" t="str">
        <f t="shared" si="6"/>
        <v xml:space="preserve">No tienes aprobado el examen. Necesitas al menos un 4 para hacer media. </v>
      </c>
    </row>
    <row r="5" spans="1:14" x14ac:dyDescent="0.25">
      <c r="A5" t="str">
        <f t="shared" si="3"/>
        <v>Alumno04</v>
      </c>
      <c r="B5">
        <v>6.08</v>
      </c>
      <c r="C5">
        <v>7.17</v>
      </c>
      <c r="D5" s="3">
        <f t="shared" si="0"/>
        <v>6.6</v>
      </c>
      <c r="E5">
        <v>5.0999999999999996</v>
      </c>
      <c r="F5">
        <v>7.75</v>
      </c>
      <c r="G5" s="3">
        <f t="shared" si="1"/>
        <v>6.28</v>
      </c>
      <c r="H5">
        <v>6.67</v>
      </c>
      <c r="I5">
        <v>5.5</v>
      </c>
      <c r="J5" s="3">
        <f t="shared" si="2"/>
        <v>6.05</v>
      </c>
      <c r="K5">
        <v>3.35</v>
      </c>
      <c r="L5">
        <f t="shared" si="4"/>
        <v>0</v>
      </c>
      <c r="M5">
        <f t="shared" si="5"/>
        <v>4.5</v>
      </c>
      <c r="N5" t="str">
        <f t="shared" si="6"/>
        <v xml:space="preserve">No tienes aprobado el examen. Necesitas al menos un 4 para hacer media. </v>
      </c>
    </row>
    <row r="6" spans="1:14" x14ac:dyDescent="0.25">
      <c r="A6" t="str">
        <f t="shared" si="3"/>
        <v>Alumno05</v>
      </c>
      <c r="B6">
        <v>9.49</v>
      </c>
      <c r="C6">
        <v>5.89</v>
      </c>
      <c r="D6" s="3">
        <f t="shared" si="0"/>
        <v>7.47</v>
      </c>
      <c r="E6">
        <v>9.19</v>
      </c>
      <c r="F6">
        <v>7.66</v>
      </c>
      <c r="G6" s="3">
        <f t="shared" si="1"/>
        <v>8.39</v>
      </c>
      <c r="H6">
        <v>6.33</v>
      </c>
      <c r="I6">
        <v>4.71</v>
      </c>
      <c r="J6" s="3">
        <f t="shared" si="2"/>
        <v>5.46</v>
      </c>
      <c r="K6">
        <v>0</v>
      </c>
      <c r="L6">
        <f t="shared" si="4"/>
        <v>0</v>
      </c>
      <c r="M6">
        <f t="shared" si="5"/>
        <v>2.84</v>
      </c>
      <c r="N6" t="str">
        <f t="shared" si="6"/>
        <v xml:space="preserve">No tienes aprobado el examen. Necesitas al menos un 4 para hacer media. </v>
      </c>
    </row>
    <row r="7" spans="1:14" x14ac:dyDescent="0.25">
      <c r="A7" t="str">
        <f t="shared" si="3"/>
        <v>Alumno06</v>
      </c>
      <c r="B7">
        <v>7.46</v>
      </c>
      <c r="C7">
        <v>6.83</v>
      </c>
      <c r="D7" s="3">
        <f t="shared" si="0"/>
        <v>7.13</v>
      </c>
      <c r="E7">
        <v>5.7</v>
      </c>
      <c r="F7">
        <v>7.98</v>
      </c>
      <c r="G7" s="3">
        <f t="shared" si="1"/>
        <v>6.74</v>
      </c>
      <c r="H7">
        <v>6.83</v>
      </c>
      <c r="I7">
        <v>5.15</v>
      </c>
      <c r="J7" s="3">
        <f t="shared" si="2"/>
        <v>5.93</v>
      </c>
      <c r="K7">
        <v>8.41</v>
      </c>
      <c r="L7">
        <f t="shared" si="4"/>
        <v>7.69</v>
      </c>
      <c r="M7">
        <f t="shared" si="5"/>
        <v>7.69</v>
      </c>
      <c r="N7" t="str">
        <f t="shared" si="6"/>
        <v/>
      </c>
    </row>
    <row r="8" spans="1:14" x14ac:dyDescent="0.25">
      <c r="A8" t="str">
        <f t="shared" si="3"/>
        <v>Alumno07</v>
      </c>
      <c r="B8">
        <v>5.86</v>
      </c>
      <c r="C8">
        <v>7.44</v>
      </c>
      <c r="D8" s="3">
        <f t="shared" si="0"/>
        <v>6.6</v>
      </c>
      <c r="E8">
        <v>9.4600000000000009</v>
      </c>
      <c r="F8">
        <v>7.56</v>
      </c>
      <c r="G8" s="3">
        <f t="shared" si="1"/>
        <v>8.4499999999999993</v>
      </c>
      <c r="H8">
        <v>8.83</v>
      </c>
      <c r="I8">
        <v>7.98</v>
      </c>
      <c r="J8" s="3">
        <f t="shared" si="2"/>
        <v>8.39</v>
      </c>
      <c r="K8">
        <v>7.84</v>
      </c>
      <c r="L8">
        <f t="shared" si="4"/>
        <v>7.83</v>
      </c>
      <c r="M8">
        <f t="shared" si="5"/>
        <v>7.83</v>
      </c>
      <c r="N8" t="str">
        <f t="shared" si="6"/>
        <v/>
      </c>
    </row>
    <row r="9" spans="1:14" x14ac:dyDescent="0.25">
      <c r="A9" t="str">
        <f t="shared" si="3"/>
        <v>Alumno08</v>
      </c>
      <c r="B9">
        <v>5.65</v>
      </c>
      <c r="C9">
        <v>7.5</v>
      </c>
      <c r="D9" s="3">
        <f t="shared" si="0"/>
        <v>6.5</v>
      </c>
      <c r="E9">
        <v>5.2</v>
      </c>
      <c r="F9">
        <v>7.45</v>
      </c>
      <c r="G9" s="3">
        <f t="shared" si="1"/>
        <v>6.22</v>
      </c>
      <c r="H9">
        <v>8.33</v>
      </c>
      <c r="I9">
        <v>7.41</v>
      </c>
      <c r="J9" s="3">
        <f t="shared" si="2"/>
        <v>7.85</v>
      </c>
      <c r="K9">
        <v>9.35</v>
      </c>
      <c r="L9">
        <f t="shared" si="4"/>
        <v>8.35</v>
      </c>
      <c r="M9">
        <f t="shared" si="5"/>
        <v>8.35</v>
      </c>
      <c r="N9" t="str">
        <f t="shared" si="6"/>
        <v/>
      </c>
    </row>
    <row r="10" spans="1:14" x14ac:dyDescent="0.25">
      <c r="A10" t="str">
        <f t="shared" si="3"/>
        <v>Alumno09</v>
      </c>
      <c r="B10">
        <v>6.62</v>
      </c>
      <c r="C10">
        <v>7.67</v>
      </c>
      <c r="D10" s="3">
        <f t="shared" si="0"/>
        <v>7.12</v>
      </c>
      <c r="E10">
        <v>7.56</v>
      </c>
      <c r="F10">
        <v>5.74</v>
      </c>
      <c r="G10" s="3">
        <f t="shared" si="1"/>
        <v>6.58</v>
      </c>
      <c r="H10">
        <v>6.4</v>
      </c>
      <c r="I10">
        <v>5.27</v>
      </c>
      <c r="J10" s="3">
        <f t="shared" si="2"/>
        <v>5.8</v>
      </c>
      <c r="K10">
        <v>4.5</v>
      </c>
      <c r="L10">
        <f t="shared" si="4"/>
        <v>5.3</v>
      </c>
      <c r="M10">
        <f t="shared" si="5"/>
        <v>5.3</v>
      </c>
      <c r="N10" t="str">
        <f t="shared" si="6"/>
        <v/>
      </c>
    </row>
    <row r="11" spans="1:14" x14ac:dyDescent="0.25">
      <c r="A11" t="str">
        <f t="shared" si="3"/>
        <v>Alumno10</v>
      </c>
      <c r="B11">
        <v>6.42</v>
      </c>
      <c r="C11">
        <v>5.28</v>
      </c>
      <c r="D11" s="3">
        <f t="shared" si="0"/>
        <v>5.82</v>
      </c>
      <c r="E11">
        <v>9.4600000000000009</v>
      </c>
      <c r="F11">
        <v>7.15</v>
      </c>
      <c r="G11" s="3">
        <f t="shared" si="1"/>
        <v>8.2200000000000006</v>
      </c>
      <c r="H11">
        <v>0</v>
      </c>
      <c r="I11">
        <v>5.72</v>
      </c>
      <c r="J11" s="3">
        <f t="shared" si="2"/>
        <v>0</v>
      </c>
      <c r="K11">
        <v>3.35</v>
      </c>
      <c r="L11">
        <f t="shared" si="4"/>
        <v>0</v>
      </c>
      <c r="M11">
        <f t="shared" si="5"/>
        <v>3.88</v>
      </c>
      <c r="N11" t="str">
        <f t="shared" si="6"/>
        <v xml:space="preserve">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12" spans="1:14" x14ac:dyDescent="0.25">
      <c r="A12" t="str">
        <f t="shared" si="3"/>
        <v>Alumno11</v>
      </c>
      <c r="B12">
        <v>9.94</v>
      </c>
      <c r="C12">
        <v>8.5</v>
      </c>
      <c r="D12" s="3">
        <f t="shared" si="0"/>
        <v>9.19</v>
      </c>
      <c r="E12">
        <v>9.4600000000000009</v>
      </c>
      <c r="F12">
        <v>8.0299999999999994</v>
      </c>
      <c r="G12" s="3">
        <f t="shared" si="1"/>
        <v>8.7100000000000009</v>
      </c>
      <c r="H12">
        <v>8</v>
      </c>
      <c r="I12">
        <v>8.1</v>
      </c>
      <c r="J12" s="3">
        <f t="shared" si="2"/>
        <v>8.0399999999999991</v>
      </c>
      <c r="K12">
        <v>4.29</v>
      </c>
      <c r="L12">
        <f t="shared" si="4"/>
        <v>6.03</v>
      </c>
      <c r="M12">
        <f t="shared" si="5"/>
        <v>6.03</v>
      </c>
      <c r="N12" t="str">
        <f t="shared" si="6"/>
        <v/>
      </c>
    </row>
    <row r="13" spans="1:14" x14ac:dyDescent="0.25">
      <c r="A13" t="str">
        <f t="shared" si="3"/>
        <v>Alumno12</v>
      </c>
      <c r="B13">
        <v>7.79</v>
      </c>
      <c r="C13">
        <v>7.33</v>
      </c>
      <c r="D13" s="3">
        <f t="shared" si="0"/>
        <v>7.55</v>
      </c>
      <c r="E13">
        <v>9.4600000000000009</v>
      </c>
      <c r="F13">
        <v>6.96</v>
      </c>
      <c r="G13" s="3">
        <f t="shared" si="1"/>
        <v>8.11</v>
      </c>
      <c r="H13">
        <v>6.67</v>
      </c>
      <c r="I13">
        <v>6.38</v>
      </c>
      <c r="J13" s="3">
        <f t="shared" si="2"/>
        <v>6.52</v>
      </c>
      <c r="K13">
        <v>3.35</v>
      </c>
      <c r="L13">
        <f t="shared" si="4"/>
        <v>0</v>
      </c>
      <c r="M13">
        <f t="shared" si="5"/>
        <v>4.5</v>
      </c>
      <c r="N13" t="str">
        <f t="shared" si="6"/>
        <v xml:space="preserve">No tienes aprobado el examen. Necesitas al menos un 4 para hacer media. </v>
      </c>
    </row>
    <row r="14" spans="1:14" x14ac:dyDescent="0.25">
      <c r="A14" t="str">
        <f t="shared" si="3"/>
        <v>Alumno13</v>
      </c>
      <c r="B14">
        <v>8.93</v>
      </c>
      <c r="C14">
        <v>8.2799999999999994</v>
      </c>
      <c r="D14" s="3">
        <f t="shared" si="0"/>
        <v>8.59</v>
      </c>
      <c r="E14">
        <v>5.8</v>
      </c>
      <c r="F14">
        <v>7.67</v>
      </c>
      <c r="G14" s="3">
        <f t="shared" si="1"/>
        <v>6.66</v>
      </c>
      <c r="H14">
        <v>6.67</v>
      </c>
      <c r="I14">
        <v>8.15</v>
      </c>
      <c r="J14" s="3">
        <f t="shared" si="2"/>
        <v>7.37</v>
      </c>
      <c r="K14">
        <v>9.7100000000000009</v>
      </c>
      <c r="L14">
        <f t="shared" si="4"/>
        <v>8.84</v>
      </c>
      <c r="M14">
        <f t="shared" si="5"/>
        <v>8.84</v>
      </c>
      <c r="N14" t="str">
        <f t="shared" si="6"/>
        <v/>
      </c>
    </row>
    <row r="15" spans="1:14" x14ac:dyDescent="0.25">
      <c r="A15" t="str">
        <f t="shared" si="3"/>
        <v>Alumno14</v>
      </c>
      <c r="B15">
        <v>8.6</v>
      </c>
      <c r="C15">
        <v>8.94</v>
      </c>
      <c r="D15" s="3">
        <f t="shared" si="0"/>
        <v>8.76</v>
      </c>
      <c r="E15">
        <v>0</v>
      </c>
      <c r="F15" s="1" t="s">
        <v>0</v>
      </c>
      <c r="G15" s="3">
        <f t="shared" si="1"/>
        <v>0</v>
      </c>
      <c r="H15">
        <v>0</v>
      </c>
      <c r="I15" s="1" t="s">
        <v>0</v>
      </c>
      <c r="J15" s="3">
        <f t="shared" si="2"/>
        <v>0</v>
      </c>
      <c r="K15">
        <v>0</v>
      </c>
      <c r="L15">
        <f t="shared" si="4"/>
        <v>0</v>
      </c>
      <c r="M15">
        <f t="shared" si="5"/>
        <v>1.17</v>
      </c>
      <c r="N15" t="str">
        <f t="shared" si="6"/>
        <v xml:space="preserve">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16" spans="1:14" x14ac:dyDescent="0.25">
      <c r="A16" t="str">
        <f t="shared" si="3"/>
        <v>Alumno15</v>
      </c>
      <c r="B16">
        <v>9.77</v>
      </c>
      <c r="C16">
        <v>8.67</v>
      </c>
      <c r="D16" s="3">
        <f t="shared" si="0"/>
        <v>9.1999999999999993</v>
      </c>
      <c r="E16">
        <v>8.93</v>
      </c>
      <c r="F16">
        <v>8.32</v>
      </c>
      <c r="G16" s="3">
        <f t="shared" si="1"/>
        <v>8.61</v>
      </c>
      <c r="H16">
        <v>6.83</v>
      </c>
      <c r="I16">
        <v>6.9</v>
      </c>
      <c r="J16" s="3">
        <f t="shared" si="2"/>
        <v>6.86</v>
      </c>
      <c r="K16">
        <v>9.4700000000000006</v>
      </c>
      <c r="L16">
        <f t="shared" si="4"/>
        <v>8.9700000000000006</v>
      </c>
      <c r="M16">
        <f t="shared" si="5"/>
        <v>8.9700000000000006</v>
      </c>
      <c r="N16" t="str">
        <f t="shared" si="6"/>
        <v/>
      </c>
    </row>
    <row r="17" spans="1:14" x14ac:dyDescent="0.25">
      <c r="A17" t="str">
        <f t="shared" si="3"/>
        <v>Alumno16</v>
      </c>
      <c r="B17">
        <v>8.7100000000000009</v>
      </c>
      <c r="C17">
        <v>7.56</v>
      </c>
      <c r="D17" s="3">
        <f t="shared" si="0"/>
        <v>8.11</v>
      </c>
      <c r="E17">
        <v>8.8000000000000007</v>
      </c>
      <c r="F17">
        <v>6.53</v>
      </c>
      <c r="G17" s="3">
        <f t="shared" si="1"/>
        <v>7.58</v>
      </c>
      <c r="H17">
        <v>7.5</v>
      </c>
      <c r="I17">
        <v>6.39</v>
      </c>
      <c r="J17" s="3">
        <f t="shared" si="2"/>
        <v>6.92</v>
      </c>
      <c r="K17">
        <v>3.35</v>
      </c>
      <c r="L17">
        <f t="shared" si="4"/>
        <v>0</v>
      </c>
      <c r="M17">
        <f t="shared" si="5"/>
        <v>4</v>
      </c>
      <c r="N17" t="str">
        <f t="shared" si="6"/>
        <v xml:space="preserve">No tienes aprobado el examen. Necesitas al menos un 4 para hacer media. </v>
      </c>
    </row>
    <row r="18" spans="1:14" x14ac:dyDescent="0.25">
      <c r="A18" t="str">
        <f t="shared" si="3"/>
        <v>Alumno17</v>
      </c>
      <c r="B18">
        <v>0</v>
      </c>
      <c r="C18" s="1" t="s">
        <v>0</v>
      </c>
      <c r="D18" s="3">
        <f t="shared" si="0"/>
        <v>0</v>
      </c>
      <c r="E18">
        <v>0</v>
      </c>
      <c r="F18" s="1" t="s">
        <v>0</v>
      </c>
      <c r="G18" s="3">
        <f t="shared" si="1"/>
        <v>0</v>
      </c>
      <c r="H18">
        <v>0</v>
      </c>
      <c r="I18" s="1" t="s">
        <v>0</v>
      </c>
      <c r="J18" s="3">
        <f t="shared" si="2"/>
        <v>0</v>
      </c>
      <c r="K18">
        <v>0</v>
      </c>
      <c r="L18">
        <f t="shared" si="4"/>
        <v>0</v>
      </c>
      <c r="M18">
        <f t="shared" si="5"/>
        <v>0</v>
      </c>
      <c r="N18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19" spans="1:14" x14ac:dyDescent="0.25">
      <c r="A19" t="str">
        <f t="shared" si="3"/>
        <v>Alumno18</v>
      </c>
      <c r="B19">
        <v>10</v>
      </c>
      <c r="C19">
        <v>8</v>
      </c>
      <c r="D19" s="3">
        <f t="shared" si="0"/>
        <v>8.94</v>
      </c>
      <c r="E19">
        <v>9.4600000000000009</v>
      </c>
      <c r="F19">
        <v>8.09</v>
      </c>
      <c r="G19" s="3">
        <f t="shared" si="1"/>
        <v>8.74</v>
      </c>
      <c r="H19">
        <v>6.67</v>
      </c>
      <c r="I19">
        <v>6.88</v>
      </c>
      <c r="J19" s="3">
        <f t="shared" si="2"/>
        <v>6.77</v>
      </c>
      <c r="K19">
        <v>3.35</v>
      </c>
      <c r="L19">
        <f t="shared" si="4"/>
        <v>0</v>
      </c>
      <c r="M19">
        <f t="shared" si="5"/>
        <v>4</v>
      </c>
      <c r="N19" t="str">
        <f t="shared" si="6"/>
        <v xml:space="preserve">No tienes aprobado el examen. Necesitas al menos un 4 para hacer media. </v>
      </c>
    </row>
    <row r="20" spans="1:14" x14ac:dyDescent="0.25">
      <c r="A20" t="str">
        <f t="shared" si="3"/>
        <v>Alumno19</v>
      </c>
      <c r="B20">
        <v>9.08</v>
      </c>
      <c r="C20">
        <v>8.17</v>
      </c>
      <c r="D20" s="3">
        <f t="shared" si="0"/>
        <v>8.61</v>
      </c>
      <c r="E20">
        <v>9.4600000000000009</v>
      </c>
      <c r="F20">
        <v>9.31</v>
      </c>
      <c r="G20" s="3">
        <f t="shared" si="1"/>
        <v>9.3800000000000008</v>
      </c>
      <c r="H20">
        <v>6.67</v>
      </c>
      <c r="I20">
        <v>5.07</v>
      </c>
      <c r="J20" s="3">
        <f t="shared" si="2"/>
        <v>5.81</v>
      </c>
      <c r="K20">
        <v>6.07</v>
      </c>
      <c r="L20">
        <f t="shared" si="4"/>
        <v>6.82</v>
      </c>
      <c r="M20">
        <f t="shared" si="5"/>
        <v>6.82</v>
      </c>
      <c r="N20" t="str">
        <f t="shared" si="6"/>
        <v/>
      </c>
    </row>
    <row r="21" spans="1:14" x14ac:dyDescent="0.25">
      <c r="A21" t="str">
        <f t="shared" si="3"/>
        <v>Alumno20</v>
      </c>
      <c r="B21">
        <v>6.91</v>
      </c>
      <c r="C21">
        <v>5.89</v>
      </c>
      <c r="D21" s="3">
        <f t="shared" si="0"/>
        <v>6.37</v>
      </c>
      <c r="E21">
        <v>7.6</v>
      </c>
      <c r="F21">
        <v>8.26</v>
      </c>
      <c r="G21" s="3">
        <f t="shared" si="1"/>
        <v>7.92</v>
      </c>
      <c r="H21">
        <v>3.17</v>
      </c>
      <c r="I21">
        <v>6.64</v>
      </c>
      <c r="J21" s="3">
        <f t="shared" si="2"/>
        <v>4.58</v>
      </c>
      <c r="K21">
        <v>3.96</v>
      </c>
      <c r="L21">
        <f t="shared" si="4"/>
        <v>0</v>
      </c>
      <c r="M21">
        <f t="shared" si="5"/>
        <v>4.5</v>
      </c>
      <c r="N21" t="str">
        <f t="shared" si="6"/>
        <v xml:space="preserve">No tienes aprobado el examen. Necesitas al menos un 4 para hacer media. </v>
      </c>
    </row>
    <row r="22" spans="1:14" x14ac:dyDescent="0.25">
      <c r="A22" t="str">
        <f t="shared" si="3"/>
        <v>Alumno21</v>
      </c>
      <c r="B22">
        <v>9.2799999999999994</v>
      </c>
      <c r="C22">
        <v>7.06</v>
      </c>
      <c r="D22" s="3">
        <f t="shared" si="0"/>
        <v>8.09</v>
      </c>
      <c r="E22">
        <v>5.97</v>
      </c>
      <c r="F22">
        <v>6.53</v>
      </c>
      <c r="G22" s="3">
        <f t="shared" si="1"/>
        <v>6.24</v>
      </c>
      <c r="H22">
        <v>1.83</v>
      </c>
      <c r="I22">
        <v>7.21</v>
      </c>
      <c r="J22" s="3">
        <f t="shared" si="2"/>
        <v>3.63</v>
      </c>
      <c r="K22">
        <v>0</v>
      </c>
      <c r="L22">
        <f t="shared" si="4"/>
        <v>0</v>
      </c>
      <c r="M22">
        <f t="shared" si="5"/>
        <v>2.39</v>
      </c>
      <c r="N22" t="str">
        <f t="shared" si="6"/>
        <v xml:space="preserve">La nota final de la práctica 3 no supera el 4. No se puede hacer media con las prácticas 1 y 2. 
No tienes aprobado el examen. Necesitas al menos un 4 para hacer media. </v>
      </c>
    </row>
    <row r="23" spans="1:14" x14ac:dyDescent="0.25">
      <c r="A23" t="str">
        <f t="shared" si="3"/>
        <v>Alumno22</v>
      </c>
      <c r="B23">
        <v>0</v>
      </c>
      <c r="C23">
        <v>9.11</v>
      </c>
      <c r="D23" s="3">
        <f t="shared" si="0"/>
        <v>0</v>
      </c>
      <c r="E23">
        <v>0</v>
      </c>
      <c r="F23" s="1" t="s">
        <v>0</v>
      </c>
      <c r="G23" s="3">
        <f t="shared" si="1"/>
        <v>0</v>
      </c>
      <c r="H23">
        <v>6.67</v>
      </c>
      <c r="I23">
        <v>5.46</v>
      </c>
      <c r="J23" s="3">
        <f t="shared" si="2"/>
        <v>6.03</v>
      </c>
      <c r="K23">
        <v>4.4000000000000004</v>
      </c>
      <c r="L23">
        <f t="shared" si="4"/>
        <v>0</v>
      </c>
      <c r="M23">
        <f t="shared" si="5"/>
        <v>3.44</v>
      </c>
      <c r="N23" t="str">
        <f t="shared" si="6"/>
        <v xml:space="preserve">La nota final de la práctica 1 no supera el 4. No se puede hacer media con las prácticas 2 y 3. 
La nota final de la práctica 2 no supera el 4. No se puede hacer media con las prácticas 1 y 3. 
No tienes aprobadas las prácticas. Necesitas al menos un 5 de media entre las tres prácticas. </v>
      </c>
    </row>
    <row r="24" spans="1:14" x14ac:dyDescent="0.25">
      <c r="A24" t="str">
        <f t="shared" si="3"/>
        <v>Alumno23</v>
      </c>
      <c r="B24">
        <v>9.8800000000000008</v>
      </c>
      <c r="C24">
        <v>6.78</v>
      </c>
      <c r="D24" s="3">
        <f t="shared" si="0"/>
        <v>8.18</v>
      </c>
      <c r="E24">
        <v>9.4600000000000009</v>
      </c>
      <c r="F24">
        <v>7.25</v>
      </c>
      <c r="G24" s="3">
        <f t="shared" si="1"/>
        <v>8.2799999999999994</v>
      </c>
      <c r="H24">
        <v>6.67</v>
      </c>
      <c r="I24">
        <v>8.17</v>
      </c>
      <c r="J24" s="3">
        <f t="shared" si="2"/>
        <v>7.38</v>
      </c>
      <c r="K24">
        <v>5.37</v>
      </c>
      <c r="L24">
        <f t="shared" si="4"/>
        <v>6.4</v>
      </c>
      <c r="M24">
        <f t="shared" si="5"/>
        <v>6.4</v>
      </c>
      <c r="N24" t="str">
        <f t="shared" si="6"/>
        <v/>
      </c>
    </row>
    <row r="25" spans="1:14" x14ac:dyDescent="0.25">
      <c r="A25" t="str">
        <f t="shared" si="3"/>
        <v>Alumno24</v>
      </c>
      <c r="B25">
        <v>8.77</v>
      </c>
      <c r="C25">
        <v>8.5</v>
      </c>
      <c r="D25" s="3">
        <f t="shared" si="0"/>
        <v>8.6300000000000008</v>
      </c>
      <c r="E25">
        <v>9.73</v>
      </c>
      <c r="F25">
        <v>8.24</v>
      </c>
      <c r="G25" s="3">
        <f t="shared" si="1"/>
        <v>8.9499999999999993</v>
      </c>
      <c r="H25">
        <v>6.67</v>
      </c>
      <c r="I25">
        <v>8.0399999999999991</v>
      </c>
      <c r="J25" s="3">
        <f t="shared" si="2"/>
        <v>7.32</v>
      </c>
      <c r="K25">
        <v>4.29</v>
      </c>
      <c r="L25">
        <f t="shared" si="4"/>
        <v>5.89</v>
      </c>
      <c r="M25">
        <f t="shared" si="5"/>
        <v>5.89</v>
      </c>
      <c r="N25" t="str">
        <f t="shared" si="6"/>
        <v/>
      </c>
    </row>
    <row r="26" spans="1:14" x14ac:dyDescent="0.25">
      <c r="A26" t="str">
        <f t="shared" si="3"/>
        <v>Alumno25</v>
      </c>
      <c r="B26">
        <v>8.7100000000000009</v>
      </c>
      <c r="C26">
        <v>7.56</v>
      </c>
      <c r="D26" s="3">
        <f t="shared" si="0"/>
        <v>8.11</v>
      </c>
      <c r="E26">
        <v>9.4600000000000009</v>
      </c>
      <c r="F26">
        <v>7.23</v>
      </c>
      <c r="G26" s="3">
        <f t="shared" si="1"/>
        <v>8.27</v>
      </c>
      <c r="H26">
        <v>10</v>
      </c>
      <c r="I26">
        <v>7.55</v>
      </c>
      <c r="J26" s="3">
        <f t="shared" si="2"/>
        <v>8.68</v>
      </c>
      <c r="K26">
        <v>3.35</v>
      </c>
      <c r="L26">
        <f t="shared" si="4"/>
        <v>0</v>
      </c>
      <c r="M26">
        <f t="shared" si="5"/>
        <v>4</v>
      </c>
      <c r="N26" t="str">
        <f t="shared" si="6"/>
        <v xml:space="preserve">No tienes aprobado el examen. Necesitas al menos un 4 para hacer media. </v>
      </c>
    </row>
    <row r="27" spans="1:14" x14ac:dyDescent="0.25">
      <c r="A27" t="str">
        <f t="shared" si="3"/>
        <v>Alumno26</v>
      </c>
      <c r="B27">
        <v>3.04</v>
      </c>
      <c r="C27">
        <v>5.56</v>
      </c>
      <c r="D27" s="3">
        <f t="shared" si="0"/>
        <v>4.1100000000000003</v>
      </c>
      <c r="E27">
        <v>7.56</v>
      </c>
      <c r="F27">
        <v>6.09</v>
      </c>
      <c r="G27" s="3">
        <f t="shared" si="1"/>
        <v>6.78</v>
      </c>
      <c r="H27">
        <v>7.5</v>
      </c>
      <c r="I27">
        <v>6.44</v>
      </c>
      <c r="J27" s="3">
        <f t="shared" si="2"/>
        <v>6.94</v>
      </c>
      <c r="K27">
        <v>3.35</v>
      </c>
      <c r="L27">
        <f t="shared" si="4"/>
        <v>0</v>
      </c>
      <c r="M27">
        <f t="shared" si="5"/>
        <v>4.3899999999999997</v>
      </c>
      <c r="N27" t="str">
        <f t="shared" si="6"/>
        <v xml:space="preserve">No tienes aprobado el examen. Necesitas al menos un 4 para hacer media. </v>
      </c>
    </row>
    <row r="28" spans="1:14" x14ac:dyDescent="0.25">
      <c r="A28" t="str">
        <f t="shared" si="3"/>
        <v>Alumno27</v>
      </c>
      <c r="B28">
        <v>8.69</v>
      </c>
      <c r="C28">
        <v>4.17</v>
      </c>
      <c r="D28" s="3">
        <f t="shared" si="0"/>
        <v>6.01</v>
      </c>
      <c r="E28">
        <v>0</v>
      </c>
      <c r="F28" s="1" t="s">
        <v>0</v>
      </c>
      <c r="G28" s="3">
        <f t="shared" si="1"/>
        <v>0</v>
      </c>
      <c r="H28">
        <v>0</v>
      </c>
      <c r="I28" s="1" t="s">
        <v>0</v>
      </c>
      <c r="J28" s="3">
        <f t="shared" si="2"/>
        <v>0</v>
      </c>
      <c r="K28">
        <v>0</v>
      </c>
      <c r="L28">
        <f t="shared" si="4"/>
        <v>0</v>
      </c>
      <c r="M28">
        <f t="shared" si="5"/>
        <v>0.8</v>
      </c>
      <c r="N28" t="str">
        <f t="shared" si="6"/>
        <v xml:space="preserve">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29" spans="1:14" x14ac:dyDescent="0.25">
      <c r="A29" t="str">
        <f t="shared" si="3"/>
        <v>Alumno28</v>
      </c>
      <c r="B29">
        <v>7.29</v>
      </c>
      <c r="C29">
        <v>7.17</v>
      </c>
      <c r="D29" s="3">
        <f t="shared" si="0"/>
        <v>7.22</v>
      </c>
      <c r="E29">
        <v>9.4600000000000009</v>
      </c>
      <c r="F29">
        <v>8.09</v>
      </c>
      <c r="G29" s="3">
        <f t="shared" si="1"/>
        <v>8.74</v>
      </c>
      <c r="H29">
        <v>6.17</v>
      </c>
      <c r="I29">
        <v>7.33</v>
      </c>
      <c r="J29" s="3">
        <f t="shared" si="2"/>
        <v>6.72</v>
      </c>
      <c r="K29">
        <v>7.42</v>
      </c>
      <c r="L29">
        <f t="shared" si="4"/>
        <v>7.48</v>
      </c>
      <c r="M29">
        <f t="shared" si="5"/>
        <v>7.48</v>
      </c>
      <c r="N29" t="str">
        <f t="shared" si="6"/>
        <v/>
      </c>
    </row>
    <row r="30" spans="1:14" x14ac:dyDescent="0.25">
      <c r="A30" t="str">
        <f t="shared" si="3"/>
        <v>Alumno29</v>
      </c>
      <c r="B30">
        <v>9.14</v>
      </c>
      <c r="C30">
        <v>6.83</v>
      </c>
      <c r="D30" s="3">
        <f t="shared" si="0"/>
        <v>7.9</v>
      </c>
      <c r="E30">
        <v>9.4600000000000009</v>
      </c>
      <c r="F30">
        <v>8.3800000000000008</v>
      </c>
      <c r="G30" s="3">
        <f t="shared" si="1"/>
        <v>8.9</v>
      </c>
      <c r="H30">
        <v>4.83</v>
      </c>
      <c r="I30">
        <v>6.77</v>
      </c>
      <c r="J30" s="3">
        <f t="shared" si="2"/>
        <v>5.71</v>
      </c>
      <c r="K30">
        <v>4.29</v>
      </c>
      <c r="L30">
        <f t="shared" si="4"/>
        <v>5.58</v>
      </c>
      <c r="M30">
        <f t="shared" si="5"/>
        <v>5.58</v>
      </c>
      <c r="N30" t="str">
        <f t="shared" si="6"/>
        <v/>
      </c>
    </row>
    <row r="31" spans="1:14" x14ac:dyDescent="0.25">
      <c r="A31" t="str">
        <f t="shared" si="3"/>
        <v>Alumno30</v>
      </c>
      <c r="B31">
        <v>9.77</v>
      </c>
      <c r="C31">
        <v>6.28</v>
      </c>
      <c r="D31" s="3">
        <f t="shared" si="0"/>
        <v>7.83</v>
      </c>
      <c r="E31">
        <v>8.4600000000000009</v>
      </c>
      <c r="F31">
        <v>8.6999999999999993</v>
      </c>
      <c r="G31" s="3">
        <f t="shared" si="1"/>
        <v>8.57</v>
      </c>
      <c r="H31">
        <v>6.67</v>
      </c>
      <c r="I31">
        <v>6.04</v>
      </c>
      <c r="J31" s="3">
        <f t="shared" si="2"/>
        <v>6.34</v>
      </c>
      <c r="K31">
        <v>0</v>
      </c>
      <c r="L31">
        <f t="shared" si="4"/>
        <v>0</v>
      </c>
      <c r="M31">
        <f t="shared" si="5"/>
        <v>3.03</v>
      </c>
      <c r="N31" t="str">
        <f t="shared" si="6"/>
        <v xml:space="preserve">No tienes aprobado el examen. Necesitas al menos un 4 para hacer media. </v>
      </c>
    </row>
    <row r="32" spans="1:14" x14ac:dyDescent="0.25">
      <c r="A32" t="str">
        <f t="shared" si="3"/>
        <v>Alumno31</v>
      </c>
      <c r="B32">
        <v>8.64</v>
      </c>
      <c r="C32">
        <v>5.39</v>
      </c>
      <c r="D32" s="3">
        <f t="shared" si="0"/>
        <v>6.82</v>
      </c>
      <c r="E32">
        <v>9.4600000000000009</v>
      </c>
      <c r="F32">
        <v>8.14</v>
      </c>
      <c r="G32" s="3">
        <f t="shared" si="1"/>
        <v>8.77</v>
      </c>
      <c r="H32">
        <v>6.17</v>
      </c>
      <c r="I32">
        <v>4.07</v>
      </c>
      <c r="J32" s="3">
        <f t="shared" si="2"/>
        <v>5.01</v>
      </c>
      <c r="K32">
        <v>3.35</v>
      </c>
      <c r="L32">
        <f t="shared" si="4"/>
        <v>0</v>
      </c>
      <c r="M32">
        <f t="shared" si="5"/>
        <v>4.5</v>
      </c>
      <c r="N32" t="str">
        <f t="shared" si="6"/>
        <v xml:space="preserve">No tienes aprobado el examen. Necesitas al menos un 4 para hacer media. </v>
      </c>
    </row>
    <row r="33" spans="1:14" x14ac:dyDescent="0.25">
      <c r="A33" t="str">
        <f t="shared" si="3"/>
        <v>Alumno32</v>
      </c>
      <c r="B33">
        <v>6.62</v>
      </c>
      <c r="C33">
        <v>6.72</v>
      </c>
      <c r="D33" s="3">
        <f t="shared" si="0"/>
        <v>6.66</v>
      </c>
      <c r="E33">
        <v>9.4600000000000009</v>
      </c>
      <c r="F33">
        <v>9.1</v>
      </c>
      <c r="G33" s="3">
        <f t="shared" si="1"/>
        <v>9.27</v>
      </c>
      <c r="H33">
        <v>6.67</v>
      </c>
      <c r="I33">
        <v>7.1</v>
      </c>
      <c r="J33" s="3">
        <f t="shared" si="2"/>
        <v>6.88</v>
      </c>
      <c r="K33">
        <v>3.46</v>
      </c>
      <c r="L33">
        <f t="shared" si="4"/>
        <v>0</v>
      </c>
      <c r="M33">
        <f t="shared" si="5"/>
        <v>4</v>
      </c>
      <c r="N33" t="str">
        <f t="shared" si="6"/>
        <v xml:space="preserve">No tienes aprobado el examen. Necesitas al menos un 4 para hacer media. </v>
      </c>
    </row>
    <row r="34" spans="1:14" x14ac:dyDescent="0.25">
      <c r="A34" t="str">
        <f t="shared" si="3"/>
        <v>Alumno33</v>
      </c>
      <c r="B34">
        <v>0</v>
      </c>
      <c r="C34">
        <v>7.72</v>
      </c>
      <c r="D34" s="3">
        <f t="shared" ref="D34:D59" si="7">IF(OR(B34="-",B34="",C34="-",C34="",B34&lt;=0,C34&lt;=0),0,TRUNC(GEOMEAN(B34,C34),2))</f>
        <v>0</v>
      </c>
      <c r="E34">
        <v>9.7200000000000006</v>
      </c>
      <c r="F34">
        <v>8.15</v>
      </c>
      <c r="G34" s="3">
        <f t="shared" ref="G34:G59" si="8">IF(OR(E34="-",E34="",F34="-",F34="",E34&lt;=0,F34&lt;=0),0,TRUNC(GEOMEAN(E34,F34),2))</f>
        <v>8.9</v>
      </c>
      <c r="H34">
        <v>7.67</v>
      </c>
      <c r="I34">
        <v>6.13</v>
      </c>
      <c r="J34" s="3">
        <f t="shared" ref="J34:J59" si="9">IF(OR(H34="-",H34="",I34="-",I34="",H34&lt;=0,I34&lt;=0),0,TRUNC(GEOMEAN(H34,I34),2))</f>
        <v>6.85</v>
      </c>
      <c r="K34">
        <v>3.35</v>
      </c>
      <c r="L34">
        <f t="shared" si="4"/>
        <v>0</v>
      </c>
      <c r="M34">
        <f t="shared" si="5"/>
        <v>4.1100000000000003</v>
      </c>
      <c r="N34" t="str">
        <f t="shared" si="6"/>
        <v xml:space="preserve">La nota final de la práctica 1 no supera el 4. No se puede hacer media con las prácticas 2 y 3. 
No tienes aprobado el examen. Necesitas al menos un 4 para hacer media. </v>
      </c>
    </row>
    <row r="35" spans="1:14" x14ac:dyDescent="0.25">
      <c r="A35" t="str">
        <f t="shared" si="3"/>
        <v>Alumno34</v>
      </c>
      <c r="B35">
        <v>8.14</v>
      </c>
      <c r="C35">
        <v>4.92</v>
      </c>
      <c r="D35" s="3">
        <f t="shared" si="7"/>
        <v>6.32</v>
      </c>
      <c r="E35">
        <v>9.4600000000000009</v>
      </c>
      <c r="F35">
        <v>5.35</v>
      </c>
      <c r="G35" s="3">
        <f t="shared" si="8"/>
        <v>7.11</v>
      </c>
      <c r="H35">
        <v>6.67</v>
      </c>
      <c r="I35">
        <v>4.95</v>
      </c>
      <c r="J35" s="3">
        <f t="shared" si="9"/>
        <v>5.74</v>
      </c>
      <c r="K35">
        <v>2.16</v>
      </c>
      <c r="L35">
        <f t="shared" si="4"/>
        <v>0</v>
      </c>
      <c r="M35">
        <f t="shared" si="5"/>
        <v>3.85</v>
      </c>
      <c r="N35" t="str">
        <f t="shared" si="6"/>
        <v xml:space="preserve">No tienes aprobado el examen. Necesitas al menos un 4 para hacer media. </v>
      </c>
    </row>
    <row r="36" spans="1:14" x14ac:dyDescent="0.25">
      <c r="A36" t="str">
        <f t="shared" si="3"/>
        <v>Alumno35</v>
      </c>
      <c r="B36">
        <v>8.58</v>
      </c>
      <c r="C36">
        <v>5</v>
      </c>
      <c r="D36" s="3">
        <f t="shared" si="7"/>
        <v>6.54</v>
      </c>
      <c r="E36">
        <v>7.56</v>
      </c>
      <c r="F36">
        <v>6.94</v>
      </c>
      <c r="G36" s="3">
        <f t="shared" si="8"/>
        <v>7.24</v>
      </c>
      <c r="H36">
        <v>6.67</v>
      </c>
      <c r="I36">
        <v>6.54</v>
      </c>
      <c r="J36" s="3">
        <f t="shared" si="9"/>
        <v>6.6</v>
      </c>
      <c r="K36">
        <v>4.29</v>
      </c>
      <c r="L36">
        <f t="shared" si="4"/>
        <v>5.29</v>
      </c>
      <c r="M36">
        <f t="shared" si="5"/>
        <v>5.29</v>
      </c>
      <c r="N36" t="str">
        <f t="shared" si="6"/>
        <v/>
      </c>
    </row>
    <row r="37" spans="1:14" x14ac:dyDescent="0.25">
      <c r="A37" t="str">
        <f t="shared" si="3"/>
        <v>Alumno36</v>
      </c>
      <c r="B37">
        <v>9.3800000000000008</v>
      </c>
      <c r="C37">
        <v>9.17</v>
      </c>
      <c r="D37" s="3">
        <f t="shared" si="7"/>
        <v>9.27</v>
      </c>
      <c r="E37">
        <v>3.8</v>
      </c>
      <c r="F37">
        <v>8.74</v>
      </c>
      <c r="G37" s="3">
        <f t="shared" si="8"/>
        <v>5.76</v>
      </c>
      <c r="H37">
        <v>6.83</v>
      </c>
      <c r="I37">
        <v>8.7200000000000006</v>
      </c>
      <c r="J37" s="3">
        <f t="shared" si="9"/>
        <v>7.71</v>
      </c>
      <c r="K37">
        <v>8.86</v>
      </c>
      <c r="L37">
        <f t="shared" si="4"/>
        <v>8.35</v>
      </c>
      <c r="M37">
        <f t="shared" si="5"/>
        <v>8.35</v>
      </c>
      <c r="N37" t="str">
        <f t="shared" si="6"/>
        <v/>
      </c>
    </row>
    <row r="38" spans="1:14" x14ac:dyDescent="0.25">
      <c r="A38" t="str">
        <f t="shared" si="3"/>
        <v>Alumno37</v>
      </c>
      <c r="B38">
        <v>9.7100000000000009</v>
      </c>
      <c r="C38">
        <v>7.89</v>
      </c>
      <c r="D38" s="3">
        <f t="shared" si="7"/>
        <v>8.75</v>
      </c>
      <c r="E38">
        <v>9.4600000000000009</v>
      </c>
      <c r="F38">
        <v>7.42</v>
      </c>
      <c r="G38" s="3">
        <f t="shared" si="8"/>
        <v>8.3699999999999992</v>
      </c>
      <c r="H38">
        <v>9.5</v>
      </c>
      <c r="I38">
        <v>5.27</v>
      </c>
      <c r="J38" s="3">
        <f t="shared" si="9"/>
        <v>7.07</v>
      </c>
      <c r="K38">
        <v>2.34</v>
      </c>
      <c r="L38">
        <f t="shared" si="4"/>
        <v>0</v>
      </c>
      <c r="M38">
        <f t="shared" si="5"/>
        <v>4.5</v>
      </c>
      <c r="N38" t="str">
        <f t="shared" si="6"/>
        <v xml:space="preserve">No tienes aprobado el examen. Necesitas al menos un 4 para hacer media. </v>
      </c>
    </row>
    <row r="39" spans="1:14" x14ac:dyDescent="0.25">
      <c r="A39" t="str">
        <f t="shared" si="3"/>
        <v>Alumno38</v>
      </c>
      <c r="B39">
        <v>0</v>
      </c>
      <c r="C39" s="1" t="s">
        <v>0</v>
      </c>
      <c r="D39" s="3">
        <f t="shared" si="7"/>
        <v>0</v>
      </c>
      <c r="E39">
        <v>0</v>
      </c>
      <c r="F39" s="1" t="s">
        <v>0</v>
      </c>
      <c r="G39" s="3">
        <f t="shared" si="8"/>
        <v>0</v>
      </c>
      <c r="H39">
        <v>8.83</v>
      </c>
      <c r="I39">
        <v>5.83</v>
      </c>
      <c r="J39" s="3">
        <f t="shared" si="9"/>
        <v>7.17</v>
      </c>
      <c r="K39">
        <v>3.35</v>
      </c>
      <c r="L39">
        <f t="shared" si="4"/>
        <v>0</v>
      </c>
      <c r="M39">
        <f t="shared" si="5"/>
        <v>2.97</v>
      </c>
      <c r="N39" t="str">
        <f t="shared" si="6"/>
        <v xml:space="preserve">La nota final de la práctica 1 no supera el 4. No se puede hacer media con las prácticas 2 y 3. 
La nota final de la práctica 2 no supera el 4. No se puede hacer media con las prácticas 1 y 3. 
No tienes aprobadas las prácticas. Necesitas al menos un 5 de media entre las tres prácticas. 
No tienes aprobado el examen. Necesitas al menos un 4 para hacer media. </v>
      </c>
    </row>
    <row r="40" spans="1:14" x14ac:dyDescent="0.25">
      <c r="A40" t="str">
        <f t="shared" si="3"/>
        <v>Alumno39</v>
      </c>
      <c r="B40">
        <v>9.77</v>
      </c>
      <c r="C40">
        <v>8.33</v>
      </c>
      <c r="D40" s="3">
        <f t="shared" si="7"/>
        <v>9.02</v>
      </c>
      <c r="E40">
        <v>9.73</v>
      </c>
      <c r="F40">
        <v>7.89</v>
      </c>
      <c r="G40" s="3">
        <f t="shared" si="8"/>
        <v>8.76</v>
      </c>
      <c r="H40">
        <v>6.17</v>
      </c>
      <c r="I40">
        <v>7.94</v>
      </c>
      <c r="J40" s="3">
        <f t="shared" si="9"/>
        <v>6.99</v>
      </c>
      <c r="K40">
        <v>8.67</v>
      </c>
      <c r="L40">
        <f t="shared" si="4"/>
        <v>8.5</v>
      </c>
      <c r="M40">
        <f t="shared" si="5"/>
        <v>8.5</v>
      </c>
      <c r="N40" t="str">
        <f t="shared" si="6"/>
        <v/>
      </c>
    </row>
    <row r="41" spans="1:14" x14ac:dyDescent="0.25">
      <c r="A41" t="str">
        <f t="shared" si="3"/>
        <v>Alumno40</v>
      </c>
      <c r="B41">
        <v>0</v>
      </c>
      <c r="C41" s="1" t="s">
        <v>0</v>
      </c>
      <c r="D41" s="3">
        <f t="shared" si="7"/>
        <v>0</v>
      </c>
      <c r="E41">
        <v>0</v>
      </c>
      <c r="F41" s="1" t="s">
        <v>0</v>
      </c>
      <c r="G41" s="3">
        <f t="shared" si="8"/>
        <v>0</v>
      </c>
      <c r="H41">
        <v>0</v>
      </c>
      <c r="I41" s="1" t="s">
        <v>0</v>
      </c>
      <c r="J41" s="3">
        <f t="shared" si="9"/>
        <v>0</v>
      </c>
      <c r="K41">
        <v>3.35</v>
      </c>
      <c r="L41">
        <f t="shared" si="4"/>
        <v>0</v>
      </c>
      <c r="M41">
        <f t="shared" si="5"/>
        <v>2.0099999999999998</v>
      </c>
      <c r="N41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42" spans="1:14" x14ac:dyDescent="0.25">
      <c r="A42" t="str">
        <f t="shared" si="3"/>
        <v>Alumno41</v>
      </c>
      <c r="B42">
        <v>3.3</v>
      </c>
      <c r="C42">
        <v>3.92</v>
      </c>
      <c r="D42" s="3">
        <f t="shared" si="7"/>
        <v>3.59</v>
      </c>
      <c r="E42">
        <v>0</v>
      </c>
      <c r="F42" s="1" t="s">
        <v>0</v>
      </c>
      <c r="G42" s="3">
        <f t="shared" si="8"/>
        <v>0</v>
      </c>
      <c r="H42">
        <v>0</v>
      </c>
      <c r="I42" s="1" t="s">
        <v>0</v>
      </c>
      <c r="J42" s="3">
        <f t="shared" si="9"/>
        <v>0</v>
      </c>
      <c r="K42">
        <v>0</v>
      </c>
      <c r="L42">
        <f t="shared" si="4"/>
        <v>0</v>
      </c>
      <c r="M42">
        <f t="shared" si="5"/>
        <v>0.48</v>
      </c>
      <c r="N42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43" spans="1:14" x14ac:dyDescent="0.25">
      <c r="A43" t="str">
        <f t="shared" si="3"/>
        <v>Alumno42</v>
      </c>
      <c r="B43">
        <v>6.81</v>
      </c>
      <c r="C43">
        <v>5.83</v>
      </c>
      <c r="D43" s="3">
        <f t="shared" si="7"/>
        <v>6.3</v>
      </c>
      <c r="E43">
        <v>9.4600000000000009</v>
      </c>
      <c r="F43">
        <v>6.75</v>
      </c>
      <c r="G43" s="3">
        <f t="shared" si="8"/>
        <v>7.99</v>
      </c>
      <c r="H43">
        <v>6.17</v>
      </c>
      <c r="I43">
        <v>9.01</v>
      </c>
      <c r="J43" s="3">
        <f t="shared" si="9"/>
        <v>7.45</v>
      </c>
      <c r="K43">
        <v>7.16</v>
      </c>
      <c r="L43">
        <f t="shared" si="4"/>
        <v>7.19</v>
      </c>
      <c r="M43">
        <f t="shared" si="5"/>
        <v>7.19</v>
      </c>
      <c r="N43" t="str">
        <f t="shared" si="6"/>
        <v/>
      </c>
    </row>
    <row r="44" spans="1:14" x14ac:dyDescent="0.25">
      <c r="A44" t="str">
        <f t="shared" si="3"/>
        <v>Alumno43</v>
      </c>
      <c r="B44">
        <v>8.66</v>
      </c>
      <c r="C44">
        <v>6.22</v>
      </c>
      <c r="D44" s="3">
        <f t="shared" si="7"/>
        <v>7.33</v>
      </c>
      <c r="E44">
        <v>8</v>
      </c>
      <c r="F44">
        <v>6.35</v>
      </c>
      <c r="G44" s="3">
        <f t="shared" si="8"/>
        <v>7.12</v>
      </c>
      <c r="H44">
        <v>6.17</v>
      </c>
      <c r="I44">
        <v>8.7899999999999991</v>
      </c>
      <c r="J44" s="3">
        <f t="shared" si="9"/>
        <v>7.36</v>
      </c>
      <c r="K44">
        <v>9.41</v>
      </c>
      <c r="L44">
        <f t="shared" si="4"/>
        <v>8.5500000000000007</v>
      </c>
      <c r="M44">
        <f t="shared" si="5"/>
        <v>8.5500000000000007</v>
      </c>
      <c r="N44" t="str">
        <f t="shared" si="6"/>
        <v/>
      </c>
    </row>
    <row r="45" spans="1:14" x14ac:dyDescent="0.25">
      <c r="A45" t="str">
        <f t="shared" si="3"/>
        <v>Alumno44</v>
      </c>
      <c r="B45">
        <v>0</v>
      </c>
      <c r="C45">
        <v>4.9400000000000004</v>
      </c>
      <c r="D45" s="3">
        <f t="shared" si="7"/>
        <v>0</v>
      </c>
      <c r="E45">
        <v>0</v>
      </c>
      <c r="F45">
        <v>4.1399999999999997</v>
      </c>
      <c r="G45" s="3">
        <f t="shared" si="8"/>
        <v>0</v>
      </c>
      <c r="H45">
        <v>10</v>
      </c>
      <c r="I45">
        <v>6.44</v>
      </c>
      <c r="J45" s="3">
        <f t="shared" si="9"/>
        <v>8.02</v>
      </c>
      <c r="K45">
        <v>5.0999999999999996</v>
      </c>
      <c r="L45">
        <f t="shared" si="4"/>
        <v>0</v>
      </c>
      <c r="M45">
        <f t="shared" si="5"/>
        <v>4.13</v>
      </c>
      <c r="N45" t="str">
        <f t="shared" si="6"/>
        <v xml:space="preserve">La nota final de la práctica 1 no supera el 4. No se puede hacer media con las prácticas 2 y 3. 
La nota final de la práctica 2 no supera el 4. No se puede hacer media con las prácticas 1 y 3. 
No tienes aprobadas las prácticas. Necesitas al menos un 5 de media entre las tres prácticas. </v>
      </c>
    </row>
    <row r="46" spans="1:14" x14ac:dyDescent="0.25">
      <c r="A46" t="str">
        <f t="shared" si="3"/>
        <v>Alumno45</v>
      </c>
      <c r="B46">
        <v>7.78</v>
      </c>
      <c r="C46">
        <v>4.5599999999999996</v>
      </c>
      <c r="D46" s="3">
        <f t="shared" si="7"/>
        <v>5.95</v>
      </c>
      <c r="E46">
        <v>9.4600000000000009</v>
      </c>
      <c r="F46">
        <v>7.49</v>
      </c>
      <c r="G46" s="3">
        <f t="shared" si="8"/>
        <v>8.41</v>
      </c>
      <c r="H46">
        <v>0</v>
      </c>
      <c r="I46">
        <v>7.56</v>
      </c>
      <c r="J46" s="3">
        <f t="shared" si="9"/>
        <v>0</v>
      </c>
      <c r="K46">
        <v>3.09</v>
      </c>
      <c r="L46">
        <f t="shared" si="4"/>
        <v>0</v>
      </c>
      <c r="M46">
        <f t="shared" si="5"/>
        <v>3.77</v>
      </c>
      <c r="N46" t="str">
        <f t="shared" si="6"/>
        <v xml:space="preserve">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47" spans="1:14" x14ac:dyDescent="0.25">
      <c r="A47" t="str">
        <f t="shared" si="3"/>
        <v>Alumno46</v>
      </c>
      <c r="B47">
        <v>9.0299999999999994</v>
      </c>
      <c r="C47">
        <v>5.17</v>
      </c>
      <c r="D47" s="3">
        <f t="shared" si="7"/>
        <v>6.83</v>
      </c>
      <c r="E47">
        <v>9.4600000000000009</v>
      </c>
      <c r="F47">
        <v>8.5399999999999991</v>
      </c>
      <c r="G47" s="3">
        <f t="shared" si="8"/>
        <v>8.98</v>
      </c>
      <c r="H47">
        <v>6.67</v>
      </c>
      <c r="I47">
        <v>6.4</v>
      </c>
      <c r="J47" s="3">
        <f t="shared" si="9"/>
        <v>6.53</v>
      </c>
      <c r="K47">
        <v>3.35</v>
      </c>
      <c r="L47">
        <f t="shared" si="4"/>
        <v>0</v>
      </c>
      <c r="M47">
        <f t="shared" si="5"/>
        <v>4.5</v>
      </c>
      <c r="N47" t="str">
        <f t="shared" si="6"/>
        <v xml:space="preserve">No tienes aprobado el examen. Necesitas al menos un 4 para hacer media. </v>
      </c>
    </row>
    <row r="48" spans="1:14" x14ac:dyDescent="0.25">
      <c r="A48" t="str">
        <f t="shared" si="3"/>
        <v>Alumno47</v>
      </c>
      <c r="B48">
        <v>8.92</v>
      </c>
      <c r="C48">
        <v>7.78</v>
      </c>
      <c r="D48" s="3">
        <f t="shared" si="7"/>
        <v>8.33</v>
      </c>
      <c r="E48">
        <v>5.0999999999999996</v>
      </c>
      <c r="F48">
        <v>7.54</v>
      </c>
      <c r="G48" s="3">
        <f t="shared" si="8"/>
        <v>6.2</v>
      </c>
      <c r="H48">
        <v>6.67</v>
      </c>
      <c r="I48">
        <v>7.33</v>
      </c>
      <c r="J48" s="3">
        <f t="shared" si="9"/>
        <v>6.99</v>
      </c>
      <c r="K48">
        <v>8.34</v>
      </c>
      <c r="L48">
        <f t="shared" si="4"/>
        <v>7.87</v>
      </c>
      <c r="M48">
        <f t="shared" si="5"/>
        <v>7.87</v>
      </c>
      <c r="N48" t="str">
        <f t="shared" si="6"/>
        <v/>
      </c>
    </row>
    <row r="49" spans="1:14" x14ac:dyDescent="0.25">
      <c r="A49" t="str">
        <f t="shared" si="3"/>
        <v>Alumno48</v>
      </c>
      <c r="B49">
        <v>9.0299999999999994</v>
      </c>
      <c r="C49">
        <v>8.2799999999999994</v>
      </c>
      <c r="D49" s="3">
        <f t="shared" si="7"/>
        <v>8.64</v>
      </c>
      <c r="E49">
        <v>9.73</v>
      </c>
      <c r="F49">
        <v>7.5</v>
      </c>
      <c r="G49" s="3">
        <f t="shared" si="8"/>
        <v>8.5399999999999991</v>
      </c>
      <c r="H49">
        <v>6.67</v>
      </c>
      <c r="I49">
        <v>3.62</v>
      </c>
      <c r="J49" s="3">
        <f t="shared" si="9"/>
        <v>4.91</v>
      </c>
      <c r="K49">
        <v>0</v>
      </c>
      <c r="L49">
        <f t="shared" si="4"/>
        <v>0</v>
      </c>
      <c r="M49">
        <f t="shared" si="5"/>
        <v>2.95</v>
      </c>
      <c r="N49" t="str">
        <f t="shared" si="6"/>
        <v xml:space="preserve">No tienes aprobado el examen. Necesitas al menos un 4 para hacer media. </v>
      </c>
    </row>
    <row r="50" spans="1:14" x14ac:dyDescent="0.25">
      <c r="A50" t="str">
        <f t="shared" si="3"/>
        <v>Alumno49</v>
      </c>
      <c r="B50">
        <v>7.79</v>
      </c>
      <c r="C50">
        <v>5.0599999999999996</v>
      </c>
      <c r="D50" s="3">
        <f t="shared" si="7"/>
        <v>6.27</v>
      </c>
      <c r="E50">
        <v>9.4600000000000009</v>
      </c>
      <c r="F50">
        <v>6.62</v>
      </c>
      <c r="G50" s="3">
        <f t="shared" si="8"/>
        <v>7.91</v>
      </c>
      <c r="H50">
        <v>2.67</v>
      </c>
      <c r="I50">
        <v>8.09</v>
      </c>
      <c r="J50" s="3">
        <f t="shared" si="9"/>
        <v>4.6399999999999997</v>
      </c>
      <c r="K50">
        <v>3.35</v>
      </c>
      <c r="L50">
        <f t="shared" si="4"/>
        <v>0</v>
      </c>
      <c r="M50">
        <f t="shared" si="5"/>
        <v>4.5</v>
      </c>
      <c r="N50" t="str">
        <f t="shared" si="6"/>
        <v xml:space="preserve">No tienes aprobado el examen. Necesitas al menos un 4 para hacer media. </v>
      </c>
    </row>
    <row r="51" spans="1:14" x14ac:dyDescent="0.25">
      <c r="A51" t="str">
        <f t="shared" si="3"/>
        <v>Alumno50</v>
      </c>
      <c r="B51">
        <v>0</v>
      </c>
      <c r="C51" s="1" t="s">
        <v>0</v>
      </c>
      <c r="D51" s="3">
        <f t="shared" si="7"/>
        <v>0</v>
      </c>
      <c r="E51">
        <v>0</v>
      </c>
      <c r="F51">
        <v>3.05</v>
      </c>
      <c r="G51" s="3">
        <f t="shared" si="8"/>
        <v>0</v>
      </c>
      <c r="H51">
        <v>0</v>
      </c>
      <c r="I51" s="1" t="s">
        <v>0</v>
      </c>
      <c r="J51" s="3">
        <f t="shared" si="9"/>
        <v>0</v>
      </c>
      <c r="K51">
        <v>7.42</v>
      </c>
      <c r="L51">
        <f t="shared" si="4"/>
        <v>0</v>
      </c>
      <c r="M51">
        <f t="shared" si="5"/>
        <v>4.45</v>
      </c>
      <c r="N51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</v>
      </c>
    </row>
    <row r="52" spans="1:14" x14ac:dyDescent="0.25">
      <c r="A52" t="str">
        <f t="shared" si="3"/>
        <v>Alumno51</v>
      </c>
      <c r="B52">
        <v>9.7100000000000009</v>
      </c>
      <c r="C52">
        <v>7.83</v>
      </c>
      <c r="D52" s="3">
        <f t="shared" si="7"/>
        <v>8.7100000000000009</v>
      </c>
      <c r="E52">
        <v>9.4600000000000009</v>
      </c>
      <c r="F52">
        <v>8.7100000000000009</v>
      </c>
      <c r="G52" s="3">
        <f t="shared" si="8"/>
        <v>9.07</v>
      </c>
      <c r="H52">
        <v>7.83</v>
      </c>
      <c r="I52">
        <v>7.54</v>
      </c>
      <c r="J52" s="3">
        <f t="shared" si="9"/>
        <v>7.68</v>
      </c>
      <c r="K52">
        <v>7.42</v>
      </c>
      <c r="L52">
        <f t="shared" si="4"/>
        <v>7.85</v>
      </c>
      <c r="M52">
        <f t="shared" si="5"/>
        <v>7.85</v>
      </c>
      <c r="N52" t="str">
        <f t="shared" si="6"/>
        <v/>
      </c>
    </row>
    <row r="53" spans="1:14" x14ac:dyDescent="0.25">
      <c r="A53" t="str">
        <f t="shared" si="3"/>
        <v>Alumno52</v>
      </c>
      <c r="B53">
        <v>8.64</v>
      </c>
      <c r="C53">
        <v>4.28</v>
      </c>
      <c r="D53" s="3">
        <f t="shared" si="7"/>
        <v>6.08</v>
      </c>
      <c r="E53">
        <v>0</v>
      </c>
      <c r="F53">
        <v>7.39</v>
      </c>
      <c r="G53" s="3">
        <f t="shared" si="8"/>
        <v>0</v>
      </c>
      <c r="H53">
        <v>0</v>
      </c>
      <c r="I53">
        <v>7.24</v>
      </c>
      <c r="J53" s="3">
        <f t="shared" si="9"/>
        <v>0</v>
      </c>
      <c r="K53">
        <v>8.41</v>
      </c>
      <c r="L53">
        <f t="shared" si="4"/>
        <v>0</v>
      </c>
      <c r="M53">
        <f t="shared" si="5"/>
        <v>4</v>
      </c>
      <c r="N53" t="str">
        <f t="shared" si="6"/>
        <v xml:space="preserve">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</v>
      </c>
    </row>
    <row r="54" spans="1:14" x14ac:dyDescent="0.25">
      <c r="A54" t="str">
        <f t="shared" si="3"/>
        <v>Alumno53</v>
      </c>
      <c r="B54">
        <v>9.83</v>
      </c>
      <c r="C54">
        <v>8</v>
      </c>
      <c r="D54" s="3">
        <f t="shared" si="7"/>
        <v>8.86</v>
      </c>
      <c r="E54">
        <v>6.5</v>
      </c>
      <c r="F54">
        <v>8.4499999999999993</v>
      </c>
      <c r="G54" s="3">
        <f t="shared" si="8"/>
        <v>7.41</v>
      </c>
      <c r="H54">
        <v>6.67</v>
      </c>
      <c r="I54">
        <v>7.06</v>
      </c>
      <c r="J54" s="3">
        <f t="shared" si="9"/>
        <v>6.86</v>
      </c>
      <c r="K54">
        <v>7.42</v>
      </c>
      <c r="L54">
        <f t="shared" si="4"/>
        <v>7.54</v>
      </c>
      <c r="M54">
        <f t="shared" si="5"/>
        <v>7.54</v>
      </c>
      <c r="N54" t="str">
        <f t="shared" si="6"/>
        <v/>
      </c>
    </row>
    <row r="55" spans="1:14" x14ac:dyDescent="0.25">
      <c r="A55" t="str">
        <f t="shared" si="3"/>
        <v>Alumno54</v>
      </c>
      <c r="B55">
        <v>0</v>
      </c>
      <c r="C55" s="1" t="s">
        <v>0</v>
      </c>
      <c r="D55" s="3">
        <f t="shared" si="7"/>
        <v>0</v>
      </c>
      <c r="E55">
        <v>9.73</v>
      </c>
      <c r="F55" s="1" t="s">
        <v>0</v>
      </c>
      <c r="G55" s="3">
        <f t="shared" si="8"/>
        <v>0</v>
      </c>
      <c r="H55">
        <v>0</v>
      </c>
      <c r="I55">
        <v>5.62</v>
      </c>
      <c r="J55" s="3">
        <f t="shared" si="9"/>
        <v>0</v>
      </c>
      <c r="K55">
        <v>0</v>
      </c>
      <c r="L55">
        <f t="shared" si="4"/>
        <v>0</v>
      </c>
      <c r="M55">
        <f t="shared" si="5"/>
        <v>0</v>
      </c>
      <c r="N55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56" spans="1:14" x14ac:dyDescent="0.25">
      <c r="A56" t="str">
        <f t="shared" si="3"/>
        <v>Alumno55</v>
      </c>
      <c r="B56">
        <v>9.0299999999999994</v>
      </c>
      <c r="C56">
        <v>7.83</v>
      </c>
      <c r="D56" s="3">
        <f t="shared" si="7"/>
        <v>8.4</v>
      </c>
      <c r="E56">
        <v>9.4600000000000009</v>
      </c>
      <c r="F56">
        <v>8.41</v>
      </c>
      <c r="G56" s="3">
        <f t="shared" si="8"/>
        <v>8.91</v>
      </c>
      <c r="H56">
        <v>5.67</v>
      </c>
      <c r="I56">
        <v>6.13</v>
      </c>
      <c r="J56" s="3">
        <f t="shared" si="9"/>
        <v>5.89</v>
      </c>
      <c r="K56">
        <v>3.35</v>
      </c>
      <c r="L56">
        <f t="shared" si="4"/>
        <v>0</v>
      </c>
      <c r="M56">
        <f t="shared" si="5"/>
        <v>4</v>
      </c>
      <c r="N56" t="str">
        <f t="shared" si="6"/>
        <v xml:space="preserve">No tienes aprobado el examen. Necesitas al menos un 4 para hacer media. </v>
      </c>
    </row>
    <row r="57" spans="1:14" x14ac:dyDescent="0.25">
      <c r="A57" t="str">
        <f t="shared" si="3"/>
        <v>Alumno56</v>
      </c>
      <c r="B57">
        <v>0</v>
      </c>
      <c r="C57">
        <v>5.67</v>
      </c>
      <c r="D57" s="3">
        <f t="shared" si="7"/>
        <v>0</v>
      </c>
      <c r="E57">
        <v>0</v>
      </c>
      <c r="F57" s="1" t="s">
        <v>0</v>
      </c>
      <c r="G57" s="3">
        <f t="shared" si="8"/>
        <v>0</v>
      </c>
      <c r="H57">
        <v>0</v>
      </c>
      <c r="I57" s="1" t="s">
        <v>0</v>
      </c>
      <c r="J57" s="3">
        <f t="shared" si="9"/>
        <v>0</v>
      </c>
      <c r="K57">
        <v>0</v>
      </c>
      <c r="L57">
        <f t="shared" si="4"/>
        <v>0</v>
      </c>
      <c r="M57">
        <f t="shared" si="5"/>
        <v>0</v>
      </c>
      <c r="N57" t="str">
        <f t="shared" si="6"/>
        <v xml:space="preserve">La nota final de la práctica 1 no supera el 4. No se puede hacer media con las prácticas 2 y 3. 
La nota final de la práctica 2 no supera el 4. No se puede hacer media con las prácticas 1 y 3. 
La nota final de la práctica 3 no supera el 4. No se puede hacer media con las prácticas 1 y 2. 
No tienes aprobadas las prácticas. Necesitas al menos un 5 de media entre las tres prácticas. 
No tienes aprobado el examen. Necesitas al menos un 4 para hacer media. </v>
      </c>
    </row>
    <row r="58" spans="1:14" x14ac:dyDescent="0.25">
      <c r="A58" t="str">
        <f t="shared" si="3"/>
        <v>Alumno57</v>
      </c>
      <c r="B58">
        <v>9.83</v>
      </c>
      <c r="C58">
        <v>5.94</v>
      </c>
      <c r="D58" s="3">
        <f t="shared" si="7"/>
        <v>7.64</v>
      </c>
      <c r="E58">
        <v>6.7</v>
      </c>
      <c r="F58">
        <v>6.73</v>
      </c>
      <c r="G58" s="3">
        <f t="shared" si="8"/>
        <v>6.71</v>
      </c>
      <c r="H58">
        <v>8</v>
      </c>
      <c r="I58">
        <v>3.93</v>
      </c>
      <c r="J58" s="3">
        <f t="shared" si="9"/>
        <v>5.6</v>
      </c>
      <c r="K58">
        <v>2.34</v>
      </c>
      <c r="L58">
        <f t="shared" si="4"/>
        <v>0</v>
      </c>
      <c r="M58">
        <f t="shared" si="5"/>
        <v>4.0599999999999996</v>
      </c>
      <c r="N58" t="str">
        <f t="shared" si="6"/>
        <v xml:space="preserve">No tienes aprobado el examen. Necesitas al menos un 4 para hacer media. </v>
      </c>
    </row>
    <row r="59" spans="1:14" x14ac:dyDescent="0.25">
      <c r="A59" t="str">
        <f t="shared" si="3"/>
        <v>Alumno58</v>
      </c>
      <c r="B59">
        <v>8.1300000000000008</v>
      </c>
      <c r="C59">
        <v>7.67</v>
      </c>
      <c r="D59" s="3">
        <f t="shared" si="7"/>
        <v>7.89</v>
      </c>
      <c r="E59">
        <v>6.7</v>
      </c>
      <c r="F59">
        <v>8.35</v>
      </c>
      <c r="G59" s="3">
        <f t="shared" si="8"/>
        <v>7.47</v>
      </c>
      <c r="H59">
        <v>10</v>
      </c>
      <c r="I59">
        <v>6.93</v>
      </c>
      <c r="J59" s="3">
        <f t="shared" si="9"/>
        <v>8.32</v>
      </c>
      <c r="K59">
        <v>2.34</v>
      </c>
      <c r="L59">
        <f t="shared" si="4"/>
        <v>0</v>
      </c>
      <c r="M59">
        <f t="shared" si="5"/>
        <v>4.5</v>
      </c>
      <c r="N59" t="str">
        <f t="shared" si="6"/>
        <v xml:space="preserve">No tienes aprobado el examen. Necesitas al menos un 4 para hacer media. </v>
      </c>
    </row>
    <row r="62" spans="1:14" x14ac:dyDescent="0.25">
      <c r="L62">
        <f>COUNTIF(L2:L59,"&gt;=5")</f>
        <v>22</v>
      </c>
      <c r="M62">
        <f>COUNTIF(M2:M59,"&gt;=5")</f>
        <v>22</v>
      </c>
      <c r="N62" s="5">
        <f>L62*100/59</f>
        <v>37.288135593220339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Ordinaria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MARTIN DE ANDRES</cp:lastModifiedBy>
  <dcterms:created xsi:type="dcterms:W3CDTF">2026-06-02T18:33:08Z</dcterms:created>
  <dcterms:modified xsi:type="dcterms:W3CDTF">2026-07-01T17:39:09Z</dcterms:modified>
  <cp:category/>
</cp:coreProperties>
</file>